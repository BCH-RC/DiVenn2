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drawings/drawing2.xml" ContentType="application/vnd.openxmlformats-officedocument.drawing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107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danezeeb/Documents/"/>
    </mc:Choice>
  </mc:AlternateContent>
  <xr:revisionPtr revIDLastSave="0" documentId="13_ncr:1_{E4393DAE-09FE-DC40-8629-862B1A279820}" xr6:coauthVersionLast="47" xr6:coauthVersionMax="47" xr10:uidLastSave="{00000000-0000-0000-0000-000000000000}"/>
  <bookViews>
    <workbookView xWindow="380" yWindow="500" windowWidth="28040" windowHeight="16020" activeTab="1" xr2:uid="{49455BFF-EA02-3146-B969-0149D23E085B}"/>
  </bookViews>
  <sheets>
    <sheet name="GO_enrichment_runtime" sheetId="1" r:id="rId1"/>
    <sheet name="KEGG_pathway_runtime" sheetId="2" r:id="rId2"/>
  </sheets>
  <calcPr calcId="191029"/>
  <fileRecoveryPr repairLoad="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N14" i="2" l="1"/>
  <c r="N15" i="2"/>
  <c r="N16" i="2"/>
  <c r="N17" i="2"/>
  <c r="C4" i="2" s="1"/>
  <c r="N13" i="2"/>
  <c r="B4" i="2" s="1"/>
  <c r="H14" i="2"/>
  <c r="H15" i="2"/>
  <c r="H16" i="2"/>
  <c r="H17" i="2"/>
  <c r="H13" i="2"/>
  <c r="C3" i="2" s="1"/>
  <c r="B14" i="2"/>
  <c r="B15" i="2"/>
  <c r="B16" i="2"/>
  <c r="B17" i="2"/>
  <c r="B13" i="2"/>
  <c r="C2" i="2" s="1"/>
  <c r="B24" i="2"/>
  <c r="B25" i="2"/>
  <c r="B26" i="2"/>
  <c r="B27" i="2"/>
  <c r="B23" i="2"/>
  <c r="C5" i="2" s="1"/>
  <c r="H24" i="2"/>
  <c r="H25" i="2"/>
  <c r="H26" i="2"/>
  <c r="H27" i="2"/>
  <c r="H23" i="2"/>
  <c r="C6" i="2" s="1"/>
  <c r="N24" i="2"/>
  <c r="N25" i="2"/>
  <c r="N26" i="2"/>
  <c r="N27" i="2"/>
  <c r="N23" i="2"/>
  <c r="C7" i="2" s="1"/>
  <c r="H34" i="2"/>
  <c r="H35" i="2"/>
  <c r="H36" i="2"/>
  <c r="H37" i="2"/>
  <c r="H33" i="2"/>
  <c r="C9" i="2" s="1"/>
  <c r="B34" i="2"/>
  <c r="B35" i="2"/>
  <c r="B36" i="2"/>
  <c r="B37" i="2"/>
  <c r="B33" i="2"/>
  <c r="C8" i="2" s="1"/>
  <c r="B4" i="1"/>
  <c r="B5" i="1"/>
  <c r="B6" i="1"/>
  <c r="B7" i="1"/>
  <c r="B8" i="1"/>
  <c r="B9" i="1"/>
  <c r="B3" i="1"/>
  <c r="B2" i="1"/>
  <c r="B5" i="2" l="1"/>
  <c r="B6" i="2"/>
  <c r="H19" i="2"/>
  <c r="B7" i="2"/>
  <c r="B8" i="2"/>
  <c r="N28" i="2"/>
  <c r="P24" i="2" s="1"/>
  <c r="B18" i="2"/>
  <c r="D14" i="2" s="1"/>
  <c r="B9" i="2"/>
  <c r="B2" i="2"/>
  <c r="B19" i="2"/>
  <c r="B3" i="2"/>
  <c r="H29" i="2"/>
  <c r="N19" i="2"/>
  <c r="P26" i="2"/>
  <c r="N29" i="2"/>
  <c r="H39" i="2"/>
  <c r="B38" i="2"/>
  <c r="B39" i="2"/>
  <c r="B29" i="2"/>
  <c r="B28" i="2"/>
  <c r="D27" i="2" s="1"/>
  <c r="H18" i="2"/>
  <c r="H38" i="2"/>
  <c r="H28" i="2"/>
  <c r="N18" i="2"/>
  <c r="D13" i="2" l="1"/>
  <c r="P16" i="2"/>
  <c r="P27" i="2"/>
  <c r="D24" i="2"/>
  <c r="J24" i="2"/>
  <c r="J14" i="2"/>
  <c r="B10" i="2"/>
  <c r="D26" i="2"/>
  <c r="D36" i="2"/>
  <c r="D23" i="2"/>
  <c r="J34" i="2"/>
  <c r="J16" i="2"/>
  <c r="P15" i="2"/>
  <c r="J33" i="2"/>
  <c r="J25" i="2"/>
  <c r="P17" i="2"/>
  <c r="J26" i="2"/>
  <c r="D17" i="2"/>
  <c r="D16" i="2"/>
  <c r="J27" i="2"/>
  <c r="D15" i="2"/>
  <c r="D37" i="2"/>
  <c r="P14" i="2"/>
  <c r="J35" i="2"/>
  <c r="J37" i="2"/>
  <c r="J13" i="2"/>
  <c r="D35" i="2"/>
  <c r="J23" i="2"/>
  <c r="P13" i="2"/>
  <c r="P23" i="2"/>
  <c r="D25" i="2"/>
  <c r="J15" i="2"/>
  <c r="D33" i="2"/>
  <c r="D34" i="2"/>
  <c r="J17" i="2"/>
  <c r="J36" i="2"/>
  <c r="P25" i="2"/>
</calcChain>
</file>

<file path=xl/sharedStrings.xml><?xml version="1.0" encoding="utf-8"?>
<sst xmlns="http://schemas.openxmlformats.org/spreadsheetml/2006/main" count="72" uniqueCount="26">
  <si>
    <t>Sample size (Gene list)</t>
  </si>
  <si>
    <t>Time (s)</t>
  </si>
  <si>
    <t>Time (ms)</t>
  </si>
  <si>
    <t>n=300</t>
  </si>
  <si>
    <t>n=100</t>
  </si>
  <si>
    <t>n=200</t>
  </si>
  <si>
    <t>n=500</t>
  </si>
  <si>
    <t>n=750</t>
  </si>
  <si>
    <t>n=1000</t>
  </si>
  <si>
    <t>n=1500</t>
  </si>
  <si>
    <t>n=2000</t>
  </si>
  <si>
    <t>Random gene list samples taken from Mus musculus NCBIM37</t>
  </si>
  <si>
    <t>n=1500 mapped == 806</t>
  </si>
  <si>
    <t>n=2000 mapped == 1007</t>
  </si>
  <si>
    <t>n=1000 mapped == 541</t>
  </si>
  <si>
    <t>n=750 mapped == 384</t>
  </si>
  <si>
    <t>n=500 mapped == 270</t>
  </si>
  <si>
    <t>n=300 mapped  == 164</t>
  </si>
  <si>
    <t>n=200 mapped == 109</t>
  </si>
  <si>
    <t>n=100 mapped == 49</t>
  </si>
  <si>
    <t>STDEV</t>
  </si>
  <si>
    <t>Standardized z-score</t>
  </si>
  <si>
    <t>Mean_Execution_Time (s)</t>
  </si>
  <si>
    <t>Sample_Size_(Gene_Set)</t>
  </si>
  <si>
    <t>StDev</t>
  </si>
  <si>
    <t>Mean of Means: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</si>
</sst>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Calibri"/>
      <family val="2"/>
      <scheme val="minor"/>
    </font>
    <font>
      <sz val="12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GO_enrichment_runtime!$A$1</c:f>
              <c:strCache>
                <c:ptCount val="1"/>
                <c:pt idx="0">
                  <c:v>Sample size (Gene list)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GO_enrichment_runtime!$A$2:$A$9</c:f>
              <c:numCache>
                <c:formatCode>General</c:formatCode>
                <c:ptCount val="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8D6E-574C-A8AB-35CD012A374B}"/>
            </c:ext>
          </c:extLst>
        </c:ser>
        <c:ser>
          <c:idx val="1"/>
          <c:order val="1"/>
          <c:tx>
            <c:strRef>
              <c:f>GO_enrichment_runtime!$B$1</c:f>
              <c:strCache>
                <c:ptCount val="1"/>
                <c:pt idx="0">
                  <c:v>Time (s)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val>
            <c:numRef>
              <c:f>GO_enrichment_runtime!$B$2:$B$9</c:f>
              <c:numCache>
                <c:formatCode>General</c:formatCode>
                <c:ptCount val="8"/>
                <c:pt idx="0">
                  <c:v>83.646599999904609</c:v>
                </c:pt>
                <c:pt idx="1">
                  <c:v>83.425900000095297</c:v>
                </c:pt>
                <c:pt idx="2">
                  <c:v>85.382000000000005</c:v>
                </c:pt>
                <c:pt idx="3">
                  <c:v>85.332899999618505</c:v>
                </c:pt>
                <c:pt idx="4">
                  <c:v>91.921499999999995</c:v>
                </c:pt>
                <c:pt idx="5">
                  <c:v>90.341899999618505</c:v>
                </c:pt>
                <c:pt idx="6">
                  <c:v>91.954599999904602</c:v>
                </c:pt>
                <c:pt idx="7">
                  <c:v>93.502499999999998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8D6E-574C-A8AB-35CD012A374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11453360"/>
        <c:axId val="210884288"/>
      </c:lineChart>
      <c:catAx>
        <c:axId val="211453360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10884288"/>
        <c:crosses val="autoZero"/>
        <c:auto val="1"/>
        <c:lblAlgn val="ctr"/>
        <c:lblOffset val="100"/>
        <c:noMultiLvlLbl val="0"/>
      </c:catAx>
      <c:valAx>
        <c:axId val="21088428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1145336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GO_enrichment_runtime!$B$1</c:f>
              <c:strCache>
                <c:ptCount val="1"/>
                <c:pt idx="0">
                  <c:v>Time (s)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GO_enrichment_runtime!$A$2:$A$9</c:f>
              <c:strCache>
                <c:ptCount val="8"/>
                <c:pt idx="0">
                  <c:v>n=100</c:v>
                </c:pt>
                <c:pt idx="1">
                  <c:v>n=200</c:v>
                </c:pt>
                <c:pt idx="2">
                  <c:v>n=300</c:v>
                </c:pt>
                <c:pt idx="3">
                  <c:v>n=500</c:v>
                </c:pt>
                <c:pt idx="4">
                  <c:v>n=750</c:v>
                </c:pt>
                <c:pt idx="5">
                  <c:v>n=1000</c:v>
                </c:pt>
                <c:pt idx="6">
                  <c:v>n=1500</c:v>
                </c:pt>
                <c:pt idx="7">
                  <c:v>n=2000</c:v>
                </c:pt>
              </c:strCache>
            </c:strRef>
          </c:cat>
          <c:val>
            <c:numRef>
              <c:f>GO_enrichment_runtime!$B$2:$B$9</c:f>
              <c:numCache>
                <c:formatCode>General</c:formatCode>
                <c:ptCount val="8"/>
                <c:pt idx="0">
                  <c:v>83.646599999904609</c:v>
                </c:pt>
                <c:pt idx="1">
                  <c:v>83.425900000095297</c:v>
                </c:pt>
                <c:pt idx="2">
                  <c:v>85.382000000000005</c:v>
                </c:pt>
                <c:pt idx="3">
                  <c:v>85.332899999618505</c:v>
                </c:pt>
                <c:pt idx="4">
                  <c:v>91.921499999999995</c:v>
                </c:pt>
                <c:pt idx="5">
                  <c:v>90.341899999618505</c:v>
                </c:pt>
                <c:pt idx="6">
                  <c:v>91.954599999904602</c:v>
                </c:pt>
                <c:pt idx="7">
                  <c:v>93.502499999999998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E4A2-744E-AC6E-9CD60377893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74598688"/>
        <c:axId val="273961248"/>
      </c:lineChart>
      <c:catAx>
        <c:axId val="27459868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73961248"/>
        <c:crosses val="autoZero"/>
        <c:auto val="1"/>
        <c:lblAlgn val="ctr"/>
        <c:lblOffset val="100"/>
        <c:noMultiLvlLbl val="0"/>
      </c:catAx>
      <c:valAx>
        <c:axId val="27396124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74598688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kumimoji="0" lang="en-US" sz="1400" b="0" i="0" u="none" strike="noStrike" kern="1200" cap="none" spc="0" normalizeH="0" baseline="0" noProof="0">
                <a:ln>
                  <a:noFill/>
                </a:ln>
                <a:solidFill>
                  <a:sysClr val="windowText" lastClr="000000">
                    <a:lumMod val="65000"/>
                    <a:lumOff val="35000"/>
                  </a:sysClr>
                </a:solidFill>
                <a:effectLst/>
                <a:uLnTx/>
                <a:uFillTx/>
                <a:latin typeface="Calibri" panose="020F0502020204030204"/>
              </a:rPr>
              <a:t>Time (s)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GO_enrichment_runtime!$B$1</c:f>
              <c:strCache>
                <c:ptCount val="1"/>
                <c:pt idx="0">
                  <c:v>Time (s)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0"/>
            <c:dispEq val="0"/>
          </c:trendline>
          <c:cat>
            <c:strRef>
              <c:f>GO_enrichment_runtime!$A$2:$A$9</c:f>
              <c:strCache>
                <c:ptCount val="8"/>
                <c:pt idx="0">
                  <c:v>n=100</c:v>
                </c:pt>
                <c:pt idx="1">
                  <c:v>n=200</c:v>
                </c:pt>
                <c:pt idx="2">
                  <c:v>n=300</c:v>
                </c:pt>
                <c:pt idx="3">
                  <c:v>n=500</c:v>
                </c:pt>
                <c:pt idx="4">
                  <c:v>n=750</c:v>
                </c:pt>
                <c:pt idx="5">
                  <c:v>n=1000</c:v>
                </c:pt>
                <c:pt idx="6">
                  <c:v>n=1500</c:v>
                </c:pt>
                <c:pt idx="7">
                  <c:v>n=2000</c:v>
                </c:pt>
              </c:strCache>
            </c:strRef>
          </c:cat>
          <c:val>
            <c:numRef>
              <c:f>GO_enrichment_runtime!$B$2:$B$9</c:f>
              <c:numCache>
                <c:formatCode>General</c:formatCode>
                <c:ptCount val="8"/>
                <c:pt idx="0">
                  <c:v>83.646599999904609</c:v>
                </c:pt>
                <c:pt idx="1">
                  <c:v>83.425900000095297</c:v>
                </c:pt>
                <c:pt idx="2">
                  <c:v>85.382000000000005</c:v>
                </c:pt>
                <c:pt idx="3">
                  <c:v>85.332899999618505</c:v>
                </c:pt>
                <c:pt idx="4">
                  <c:v>91.921499999999995</c:v>
                </c:pt>
                <c:pt idx="5">
                  <c:v>90.341899999618505</c:v>
                </c:pt>
                <c:pt idx="6">
                  <c:v>91.954599999904602</c:v>
                </c:pt>
                <c:pt idx="7">
                  <c:v>93.502499999999998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E44-A840-8998-95A0A23AE7B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2128301808"/>
        <c:axId val="2128303456"/>
      </c:barChart>
      <c:catAx>
        <c:axId val="212830180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128303456"/>
        <c:crosses val="autoZero"/>
        <c:auto val="1"/>
        <c:lblAlgn val="ctr"/>
        <c:lblOffset val="100"/>
        <c:noMultiLvlLbl val="0"/>
      </c:catAx>
      <c:valAx>
        <c:axId val="212830345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128301808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GO_enrichment_runtime!$B$1</c:f>
              <c:strCache>
                <c:ptCount val="1"/>
                <c:pt idx="0">
                  <c:v>Time (s)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0"/>
            <c:dispEq val="0"/>
          </c:trendline>
          <c:cat>
            <c:strRef>
              <c:f>GO_enrichment_runtime!$A$2:$A$9</c:f>
              <c:strCache>
                <c:ptCount val="8"/>
                <c:pt idx="0">
                  <c:v>n=100</c:v>
                </c:pt>
                <c:pt idx="1">
                  <c:v>n=200</c:v>
                </c:pt>
                <c:pt idx="2">
                  <c:v>n=300</c:v>
                </c:pt>
                <c:pt idx="3">
                  <c:v>n=500</c:v>
                </c:pt>
                <c:pt idx="4">
                  <c:v>n=750</c:v>
                </c:pt>
                <c:pt idx="5">
                  <c:v>n=1000</c:v>
                </c:pt>
                <c:pt idx="6">
                  <c:v>n=1500</c:v>
                </c:pt>
                <c:pt idx="7">
                  <c:v>n=2000</c:v>
                </c:pt>
              </c:strCache>
            </c:strRef>
          </c:cat>
          <c:val>
            <c:numRef>
              <c:f>GO_enrichment_runtime!$B$2:$B$9</c:f>
              <c:numCache>
                <c:formatCode>General</c:formatCode>
                <c:ptCount val="8"/>
                <c:pt idx="0">
                  <c:v>83.646599999904609</c:v>
                </c:pt>
                <c:pt idx="1">
                  <c:v>83.425900000095297</c:v>
                </c:pt>
                <c:pt idx="2">
                  <c:v>85.382000000000005</c:v>
                </c:pt>
                <c:pt idx="3">
                  <c:v>85.332899999618505</c:v>
                </c:pt>
                <c:pt idx="4">
                  <c:v>91.921499999999995</c:v>
                </c:pt>
                <c:pt idx="5">
                  <c:v>90.341899999618505</c:v>
                </c:pt>
                <c:pt idx="6">
                  <c:v>91.954599999904602</c:v>
                </c:pt>
                <c:pt idx="7">
                  <c:v>93.502499999999998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044-7041-A65D-72C7294E13B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950957119"/>
        <c:axId val="950958767"/>
      </c:barChart>
      <c:catAx>
        <c:axId val="950957119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50958767"/>
        <c:crosses val="autoZero"/>
        <c:auto val="1"/>
        <c:lblAlgn val="ctr"/>
        <c:lblOffset val="100"/>
        <c:noMultiLvlLbl val="0"/>
      </c:catAx>
      <c:valAx>
        <c:axId val="95095876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50957119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GO</a:t>
            </a:r>
            <a:r>
              <a:rPr lang="en-US" baseline="0"/>
              <a:t> Enrichment Runtime Performance</a:t>
            </a:r>
            <a:endParaRPr lang="en-US"/>
          </a:p>
        </c:rich>
      </c:tx>
      <c:layout>
        <c:manualLayout>
          <c:xMode val="edge"/>
          <c:yMode val="edge"/>
          <c:x val="0.16025"/>
          <c:y val="4.6296296296296294E-3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GO_enrichment_runtime!$B$1</c:f>
              <c:strCache>
                <c:ptCount val="1"/>
                <c:pt idx="0">
                  <c:v>Time (s)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0"/>
            <c:dispEq val="0"/>
          </c:trendline>
          <c:cat>
            <c:strRef>
              <c:f>GO_enrichment_runtime!$A$2:$A$9</c:f>
              <c:strCache>
                <c:ptCount val="8"/>
                <c:pt idx="0">
                  <c:v>n=100</c:v>
                </c:pt>
                <c:pt idx="1">
                  <c:v>n=200</c:v>
                </c:pt>
                <c:pt idx="2">
                  <c:v>n=300</c:v>
                </c:pt>
                <c:pt idx="3">
                  <c:v>n=500</c:v>
                </c:pt>
                <c:pt idx="4">
                  <c:v>n=750</c:v>
                </c:pt>
                <c:pt idx="5">
                  <c:v>n=1000</c:v>
                </c:pt>
                <c:pt idx="6">
                  <c:v>n=1500</c:v>
                </c:pt>
                <c:pt idx="7">
                  <c:v>n=2000</c:v>
                </c:pt>
              </c:strCache>
            </c:strRef>
          </c:cat>
          <c:val>
            <c:numRef>
              <c:f>GO_enrichment_runtime!$B$2:$B$9</c:f>
              <c:numCache>
                <c:formatCode>General</c:formatCode>
                <c:ptCount val="8"/>
                <c:pt idx="0">
                  <c:v>83.646599999904609</c:v>
                </c:pt>
                <c:pt idx="1">
                  <c:v>83.425900000095297</c:v>
                </c:pt>
                <c:pt idx="2">
                  <c:v>85.382000000000005</c:v>
                </c:pt>
                <c:pt idx="3">
                  <c:v>85.332899999618505</c:v>
                </c:pt>
                <c:pt idx="4">
                  <c:v>91.921499999999995</c:v>
                </c:pt>
                <c:pt idx="5">
                  <c:v>90.341899999618505</c:v>
                </c:pt>
                <c:pt idx="6">
                  <c:v>91.954599999904602</c:v>
                </c:pt>
                <c:pt idx="7">
                  <c:v>93.502499999999998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D042-5B4E-910F-1FC01968534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248242768"/>
        <c:axId val="248295568"/>
      </c:barChart>
      <c:catAx>
        <c:axId val="248242768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Sample Size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48295568"/>
        <c:crosses val="autoZero"/>
        <c:auto val="1"/>
        <c:lblAlgn val="ctr"/>
        <c:lblOffset val="100"/>
        <c:noMultiLvlLbl val="0"/>
      </c:catAx>
      <c:valAx>
        <c:axId val="24829556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Time</a:t>
                </a:r>
                <a:r>
                  <a:rPr lang="en-US" baseline="0"/>
                  <a:t> (s)</a:t>
                </a:r>
                <a:endParaRPr lang="en-US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48242768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KEGG Pathway Enrichment</a:t>
            </a:r>
            <a:r>
              <a:rPr lang="en-US" baseline="0"/>
              <a:t> Mean Runtime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KEGG_pathway_runtime!$B$1</c:f>
              <c:strCache>
                <c:ptCount val="1"/>
                <c:pt idx="0">
                  <c:v>Mean_Execution_Time (s)</c:v>
                </c:pt>
              </c:strCache>
            </c:strRef>
          </c:tx>
          <c:spPr>
            <a:solidFill>
              <a:schemeClr val="accent6"/>
            </a:solidFill>
            <a:ln>
              <a:solidFill>
                <a:schemeClr val="accent1"/>
              </a:solidFill>
            </a:ln>
            <a:effectLst/>
          </c:spPr>
          <c:invertIfNegative val="0"/>
          <c:errBars>
            <c:errBarType val="both"/>
            <c:errValType val="cust"/>
            <c:noEndCap val="0"/>
            <c:plus>
              <c:numRef>
                <c:f>KEGG_pathway_runtime!$C$2:$C$9</c:f>
                <c:numCache>
                  <c:formatCode>General</c:formatCode>
                  <c:ptCount val="8"/>
                  <c:pt idx="0">
                    <c:v>5.5255760715060065</c:v>
                  </c:pt>
                  <c:pt idx="1">
                    <c:v>2.2395113004849958</c:v>
                  </c:pt>
                  <c:pt idx="2">
                    <c:v>2.54942550038239</c:v>
                  </c:pt>
                  <c:pt idx="3">
                    <c:v>3.5280383178190959</c:v>
                  </c:pt>
                  <c:pt idx="4">
                    <c:v>4.4302732045552284</c:v>
                  </c:pt>
                  <c:pt idx="5">
                    <c:v>0.51795398733864484</c:v>
                  </c:pt>
                  <c:pt idx="6">
                    <c:v>3.8608190702233003</c:v>
                  </c:pt>
                  <c:pt idx="7">
                    <c:v>4.9495216715972781</c:v>
                  </c:pt>
                </c:numCache>
              </c:numRef>
            </c:plus>
            <c:minus>
              <c:numRef>
                <c:f>KEGG_pathway_runtime!$C$2:$C$9</c:f>
                <c:numCache>
                  <c:formatCode>General</c:formatCode>
                  <c:ptCount val="8"/>
                  <c:pt idx="0">
                    <c:v>5.5255760715060065</c:v>
                  </c:pt>
                  <c:pt idx="1">
                    <c:v>2.2395113004849958</c:v>
                  </c:pt>
                  <c:pt idx="2">
                    <c:v>2.54942550038239</c:v>
                  </c:pt>
                  <c:pt idx="3">
                    <c:v>3.5280383178190959</c:v>
                  </c:pt>
                  <c:pt idx="4">
                    <c:v>4.4302732045552284</c:v>
                  </c:pt>
                  <c:pt idx="5">
                    <c:v>0.51795398733864484</c:v>
                  </c:pt>
                  <c:pt idx="6">
                    <c:v>3.8608190702233003</c:v>
                  </c:pt>
                  <c:pt idx="7">
                    <c:v>4.9495216715972781</c:v>
                  </c:pt>
                </c:numCache>
              </c:numRef>
            </c:minus>
            <c:spPr>
              <a:noFill/>
              <a:ln w="9525" cap="flat" cmpd="sng" algn="ctr">
                <a:solidFill>
                  <a:schemeClr val="tx1">
                    <a:lumMod val="65000"/>
                    <a:lumOff val="35000"/>
                  </a:schemeClr>
                </a:solidFill>
                <a:round/>
              </a:ln>
              <a:effectLst/>
            </c:spPr>
          </c:errBars>
          <c:cat>
            <c:strRef>
              <c:f>KEGG_pathway_runtime!$A$2:$A$9</c:f>
              <c:strCache>
                <c:ptCount val="8"/>
                <c:pt idx="0">
                  <c:v>n=100</c:v>
                </c:pt>
                <c:pt idx="1">
                  <c:v>n=200</c:v>
                </c:pt>
                <c:pt idx="2">
                  <c:v>n=300</c:v>
                </c:pt>
                <c:pt idx="3">
                  <c:v>n=500</c:v>
                </c:pt>
                <c:pt idx="4">
                  <c:v>n=750</c:v>
                </c:pt>
                <c:pt idx="5">
                  <c:v>n=1000</c:v>
                </c:pt>
                <c:pt idx="6">
                  <c:v>n=1500</c:v>
                </c:pt>
                <c:pt idx="7">
                  <c:v>n=2000</c:v>
                </c:pt>
              </c:strCache>
            </c:strRef>
          </c:cat>
          <c:val>
            <c:numRef>
              <c:f>KEGG_pathway_runtime!$B$2:$B$9</c:f>
              <c:numCache>
                <c:formatCode>General</c:formatCode>
                <c:ptCount val="8"/>
                <c:pt idx="0">
                  <c:v>29.203280000000007</c:v>
                </c:pt>
                <c:pt idx="1">
                  <c:v>28.178199999999997</c:v>
                </c:pt>
                <c:pt idx="2">
                  <c:v>27.65718</c:v>
                </c:pt>
                <c:pt idx="3">
                  <c:v>27.163720000000001</c:v>
                </c:pt>
                <c:pt idx="4">
                  <c:v>27.534319999999997</c:v>
                </c:pt>
                <c:pt idx="5">
                  <c:v>28.553639999999994</c:v>
                </c:pt>
                <c:pt idx="6">
                  <c:v>25.574740000000002</c:v>
                </c:pt>
                <c:pt idx="7">
                  <c:v>26.361039999999981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DB6-0049-BE7A-77A0E60C1B9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axId val="894239039"/>
        <c:axId val="893993071"/>
      </c:barChart>
      <c:catAx>
        <c:axId val="894239039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93993071"/>
        <c:crosses val="autoZero"/>
        <c:auto val="1"/>
        <c:lblAlgn val="ctr"/>
        <c:lblOffset val="100"/>
        <c:noMultiLvlLbl val="0"/>
      </c:catAx>
      <c:valAx>
        <c:axId val="893993071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Seconds (s)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94239039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5" Type="http://schemas.openxmlformats.org/officeDocument/2006/relationships/chart" Target="../charts/chart5.xml"/><Relationship Id="rId4" Type="http://schemas.openxmlformats.org/officeDocument/2006/relationships/chart" Target="../charts/chart4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6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704850</xdr:colOff>
      <xdr:row>10</xdr:row>
      <xdr:rowOff>177800</xdr:rowOff>
    </xdr:from>
    <xdr:to>
      <xdr:col>4</xdr:col>
      <xdr:colOff>120650</xdr:colOff>
      <xdr:row>24</xdr:row>
      <xdr:rowOff>76200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5CE022C6-2AEE-E602-36EE-D4D9B3E699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2</xdr:col>
      <xdr:colOff>704850</xdr:colOff>
      <xdr:row>10</xdr:row>
      <xdr:rowOff>177800</xdr:rowOff>
    </xdr:from>
    <xdr:to>
      <xdr:col>4</xdr:col>
      <xdr:colOff>120650</xdr:colOff>
      <xdr:row>24</xdr:row>
      <xdr:rowOff>76200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79F02F16-D09A-F322-9B53-7AFA04D08CE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2</xdr:col>
      <xdr:colOff>704850</xdr:colOff>
      <xdr:row>10</xdr:row>
      <xdr:rowOff>177800</xdr:rowOff>
    </xdr:from>
    <xdr:to>
      <xdr:col>4</xdr:col>
      <xdr:colOff>120650</xdr:colOff>
      <xdr:row>24</xdr:row>
      <xdr:rowOff>76200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30E820F0-A6C2-73FD-7B33-2D0E167A5038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2</xdr:col>
      <xdr:colOff>704850</xdr:colOff>
      <xdr:row>10</xdr:row>
      <xdr:rowOff>177800</xdr:rowOff>
    </xdr:from>
    <xdr:to>
      <xdr:col>4</xdr:col>
      <xdr:colOff>120650</xdr:colOff>
      <xdr:row>24</xdr:row>
      <xdr:rowOff>76200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DF06DFB6-00FC-62B4-7459-9BAB6FBFD34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1</xdr:col>
      <xdr:colOff>2908300</xdr:colOff>
      <xdr:row>11</xdr:row>
      <xdr:rowOff>190500</xdr:rowOff>
    </xdr:from>
    <xdr:to>
      <xdr:col>3</xdr:col>
      <xdr:colOff>1308100</xdr:colOff>
      <xdr:row>25</xdr:row>
      <xdr:rowOff>88900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2CF2E373-D46C-8D91-6DF3-B62491DA00C9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812800</xdr:colOff>
      <xdr:row>6</xdr:row>
      <xdr:rowOff>0</xdr:rowOff>
    </xdr:from>
    <xdr:to>
      <xdr:col>6</xdr:col>
      <xdr:colOff>127000</xdr:colOff>
      <xdr:row>32</xdr:row>
      <xdr:rowOff>38100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A429CC03-53E0-5472-679D-2634F202B7C8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CBD60A2-FC02-D848-85E7-94D6909E08C3}">
  <dimension ref="A1:C12"/>
  <sheetViews>
    <sheetView workbookViewId="0">
      <selection activeCell="E15" sqref="E15"/>
    </sheetView>
  </sheetViews>
  <sheetFormatPr baseColWidth="10" defaultRowHeight="16" x14ac:dyDescent="0.2"/>
  <cols>
    <col min="1" max="1" width="35" customWidth="1"/>
    <col min="2" max="2" width="40.6640625" customWidth="1"/>
    <col min="3" max="3" width="40.33203125" customWidth="1"/>
    <col min="4" max="4" width="27.33203125" customWidth="1"/>
  </cols>
  <sheetData>
    <row r="1" spans="1:3" x14ac:dyDescent="0.2">
      <c r="A1" t="s">
        <v>0</v>
      </c>
      <c r="B1" t="s">
        <v>1</v>
      </c>
      <c r="C1" t="s">
        <v>2</v>
      </c>
    </row>
    <row r="2" spans="1:3" x14ac:dyDescent="0.2">
      <c r="A2" t="s">
        <v>4</v>
      </c>
      <c r="B2">
        <f>$C2/1000</f>
        <v>83.646599999904609</v>
      </c>
      <c r="C2">
        <v>83646.599999904603</v>
      </c>
    </row>
    <row r="3" spans="1:3" x14ac:dyDescent="0.2">
      <c r="A3" t="s">
        <v>5</v>
      </c>
      <c r="B3">
        <f>$C3/1000</f>
        <v>83.425900000095297</v>
      </c>
      <c r="C3">
        <v>83425.900000095295</v>
      </c>
    </row>
    <row r="4" spans="1:3" x14ac:dyDescent="0.2">
      <c r="A4" t="s">
        <v>3</v>
      </c>
      <c r="B4">
        <f t="shared" ref="B4:B9" si="0">$C4/1000</f>
        <v>85.382000000000005</v>
      </c>
      <c r="C4">
        <v>85382</v>
      </c>
    </row>
    <row r="5" spans="1:3" x14ac:dyDescent="0.2">
      <c r="A5" t="s">
        <v>6</v>
      </c>
      <c r="B5">
        <f t="shared" si="0"/>
        <v>85.332899999618505</v>
      </c>
      <c r="C5">
        <v>85332.899999618501</v>
      </c>
    </row>
    <row r="6" spans="1:3" x14ac:dyDescent="0.2">
      <c r="A6" t="s">
        <v>7</v>
      </c>
      <c r="B6">
        <f t="shared" si="0"/>
        <v>91.921499999999995</v>
      </c>
      <c r="C6">
        <v>91921.5</v>
      </c>
    </row>
    <row r="7" spans="1:3" x14ac:dyDescent="0.2">
      <c r="A7" t="s">
        <v>8</v>
      </c>
      <c r="B7">
        <f t="shared" si="0"/>
        <v>90.341899999618505</v>
      </c>
      <c r="C7">
        <v>90341.899999618501</v>
      </c>
    </row>
    <row r="8" spans="1:3" x14ac:dyDescent="0.2">
      <c r="A8" t="s">
        <v>9</v>
      </c>
      <c r="B8">
        <f t="shared" si="0"/>
        <v>91.954599999904602</v>
      </c>
      <c r="C8">
        <v>91954.599999904603</v>
      </c>
    </row>
    <row r="9" spans="1:3" x14ac:dyDescent="0.2">
      <c r="A9" t="s">
        <v>10</v>
      </c>
      <c r="B9">
        <f t="shared" si="0"/>
        <v>93.502499999999998</v>
      </c>
      <c r="C9">
        <v>93502.5</v>
      </c>
    </row>
    <row r="12" spans="1:3" x14ac:dyDescent="0.2">
      <c r="A12" t="s">
        <v>11</v>
      </c>
    </row>
  </sheetData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7F9CB88-9BD8-B04E-B7A4-533A858D2AE6}">
  <dimension ref="A1:P39"/>
  <sheetViews>
    <sheetView tabSelected="1" topLeftCell="A4" workbookViewId="0">
      <selection activeCell="B14" sqref="B14"/>
    </sheetView>
  </sheetViews>
  <sheetFormatPr baseColWidth="10" defaultRowHeight="16" x14ac:dyDescent="0.2"/>
  <cols>
    <col min="1" max="1" width="34.1640625" customWidth="1"/>
    <col min="2" max="2" width="25.1640625" customWidth="1"/>
    <col min="3" max="5" width="36.1640625" customWidth="1"/>
    <col min="7" max="7" width="24.33203125" customWidth="1"/>
    <col min="8" max="8" width="19.33203125" customWidth="1"/>
    <col min="10" max="11" width="22.1640625" customWidth="1"/>
    <col min="13" max="13" width="21.5" customWidth="1"/>
    <col min="14" max="14" width="20" customWidth="1"/>
    <col min="15" max="15" width="19.83203125" customWidth="1"/>
    <col min="16" max="16" width="20.6640625" customWidth="1"/>
    <col min="17" max="17" width="28.1640625" customWidth="1"/>
  </cols>
  <sheetData>
    <row r="1" spans="1:16" x14ac:dyDescent="0.2">
      <c r="A1" t="s">
        <v>23</v>
      </c>
      <c r="B1" t="s">
        <v>22</v>
      </c>
      <c r="C1" t="s">
        <v>24</v>
      </c>
    </row>
    <row r="2" spans="1:16" x14ac:dyDescent="0.2">
      <c r="A2" t="s">
        <v>4</v>
      </c>
      <c r="B2">
        <f>AVERAGE(B13:B17)</f>
        <v>29.203280000000007</v>
      </c>
      <c r="C2">
        <f>STDEV(B13:B17)</f>
        <v>5.5255760715060065</v>
      </c>
    </row>
    <row r="3" spans="1:16" x14ac:dyDescent="0.2">
      <c r="A3" t="s">
        <v>5</v>
      </c>
      <c r="B3">
        <f>AVERAGE(H13:H17)</f>
        <v>28.178199999999997</v>
      </c>
      <c r="C3">
        <f>STDEV(H13:H17)</f>
        <v>2.2395113004849958</v>
      </c>
    </row>
    <row r="4" spans="1:16" x14ac:dyDescent="0.2">
      <c r="A4" t="s">
        <v>3</v>
      </c>
      <c r="B4">
        <f>AVERAGE(N13:N17)</f>
        <v>27.65718</v>
      </c>
      <c r="C4">
        <f>STDEV(N13:N17)</f>
        <v>2.54942550038239</v>
      </c>
    </row>
    <row r="5" spans="1:16" x14ac:dyDescent="0.2">
      <c r="A5" t="s">
        <v>6</v>
      </c>
      <c r="B5">
        <f>AVERAGE(B23:B27)</f>
        <v>27.163720000000001</v>
      </c>
      <c r="C5">
        <f>STDEV(B23:B27)</f>
        <v>3.5280383178190959</v>
      </c>
    </row>
    <row r="6" spans="1:16" x14ac:dyDescent="0.2">
      <c r="A6" t="s">
        <v>7</v>
      </c>
      <c r="B6">
        <f>AVERAGE(H23:H27)</f>
        <v>27.534319999999997</v>
      </c>
      <c r="C6">
        <f>STDEV(H23:H27)</f>
        <v>4.4302732045552284</v>
      </c>
    </row>
    <row r="7" spans="1:16" x14ac:dyDescent="0.2">
      <c r="A7" t="s">
        <v>8</v>
      </c>
      <c r="B7">
        <f>AVERAGE(N23:N27)</f>
        <v>28.553639999999994</v>
      </c>
      <c r="C7">
        <f>STDEV(N23:N27)</f>
        <v>0.51795398733864484</v>
      </c>
    </row>
    <row r="8" spans="1:16" x14ac:dyDescent="0.2">
      <c r="A8" t="s">
        <v>9</v>
      </c>
      <c r="B8">
        <f>AVERAGE(B33:B37)</f>
        <v>25.574740000000002</v>
      </c>
      <c r="C8">
        <f>STDEV(B33:B37)</f>
        <v>3.8608190702233003</v>
      </c>
    </row>
    <row r="9" spans="1:16" x14ac:dyDescent="0.2">
      <c r="A9" t="s">
        <v>10</v>
      </c>
      <c r="B9">
        <f>AVERAGE(H33:H37)</f>
        <v>26.361039999999981</v>
      </c>
      <c r="C9">
        <f>STDEV(H33:H37)</f>
        <v>4.9495216715972781</v>
      </c>
    </row>
    <row r="10" spans="1:16" x14ac:dyDescent="0.2">
      <c r="A10" t="s">
        <v>25</v>
      </c>
      <c r="B10">
        <f>AVERAGE(B2:B9)</f>
        <v>27.528264999999998</v>
      </c>
    </row>
    <row r="12" spans="1:16" x14ac:dyDescent="0.2">
      <c r="A12" t="s">
        <v>4</v>
      </c>
      <c r="B12" t="s">
        <v>1</v>
      </c>
      <c r="C12" t="s">
        <v>2</v>
      </c>
      <c r="D12" t="s">
        <v>21</v>
      </c>
      <c r="G12" t="s">
        <v>5</v>
      </c>
      <c r="H12" t="s">
        <v>1</v>
      </c>
      <c r="I12" t="s">
        <v>2</v>
      </c>
      <c r="J12" t="s">
        <v>21</v>
      </c>
      <c r="M12" t="s">
        <v>3</v>
      </c>
      <c r="N12" t="s">
        <v>1</v>
      </c>
      <c r="O12" t="s">
        <v>2</v>
      </c>
      <c r="P12" t="s">
        <v>21</v>
      </c>
    </row>
    <row r="13" spans="1:16" x14ac:dyDescent="0.2">
      <c r="A13">
        <v>1</v>
      </c>
      <c r="B13">
        <f>C13/1000</f>
        <v>28.0989</v>
      </c>
      <c r="C13">
        <v>28098.9</v>
      </c>
      <c r="D13">
        <f>STANDARDIZE(B13, $B$18,$B$19)</f>
        <v>-0.19986694341156816</v>
      </c>
      <c r="G13">
        <v>1</v>
      </c>
      <c r="H13">
        <f>I13/1000</f>
        <v>27.056999999999999</v>
      </c>
      <c r="I13">
        <v>27057</v>
      </c>
      <c r="J13">
        <f>STANDARDIZE(H13, $H$18, $H$19)</f>
        <v>-0.50064493970500956</v>
      </c>
      <c r="M13">
        <v>1</v>
      </c>
      <c r="N13">
        <f>O13/1000</f>
        <v>26.331599999999998</v>
      </c>
      <c r="O13">
        <v>26331.599999999999</v>
      </c>
      <c r="P13">
        <f>STANDARDIZE(N13, $N$18, $N$19)</f>
        <v>-0.5199524362650243</v>
      </c>
    </row>
    <row r="14" spans="1:16" x14ac:dyDescent="0.2">
      <c r="A14">
        <v>2</v>
      </c>
      <c r="B14">
        <f>C14/1000</f>
        <v>26.155900000000003</v>
      </c>
      <c r="C14">
        <v>26155.9</v>
      </c>
      <c r="D14">
        <f>STANDARDIZE(B14, $B$18,$B$19)</f>
        <v>-0.55150448759805681</v>
      </c>
      <c r="G14">
        <v>2</v>
      </c>
      <c r="H14">
        <f>I14/1000</f>
        <v>27.369499999999999</v>
      </c>
      <c r="I14">
        <v>27369.5</v>
      </c>
      <c r="J14">
        <f>STANDARDIZE(H14, $H$18, $H$19)</f>
        <v>-0.36110556790888421</v>
      </c>
      <c r="M14">
        <v>2</v>
      </c>
      <c r="N14">
        <f>O14/1000</f>
        <v>29.601599999999998</v>
      </c>
      <c r="O14">
        <v>29601.599999999999</v>
      </c>
      <c r="P14">
        <f>STANDARDIZE(N14, $N$18, $N$19)</f>
        <v>0.76268947639707552</v>
      </c>
    </row>
    <row r="15" spans="1:16" x14ac:dyDescent="0.2">
      <c r="A15">
        <v>3</v>
      </c>
      <c r="B15">
        <f>C15/1000</f>
        <v>37.824400000000004</v>
      </c>
      <c r="C15">
        <v>37824.400000000001</v>
      </c>
      <c r="D15">
        <f>STANDARDIZE(B15, $B$18,$B$19)</f>
        <v>1.5602210318770067</v>
      </c>
      <c r="G15">
        <v>3</v>
      </c>
      <c r="H15">
        <f>I15/1000</f>
        <v>32.055199999999999</v>
      </c>
      <c r="I15">
        <v>32055.200000000001</v>
      </c>
      <c r="J15">
        <f>STANDARDIZE(H15, $H$18, $H$19)</f>
        <v>1.7311812622514504</v>
      </c>
      <c r="M15">
        <v>3</v>
      </c>
      <c r="N15">
        <f>O15/1000</f>
        <v>26.375599999999999</v>
      </c>
      <c r="O15">
        <v>26375.599999999999</v>
      </c>
      <c r="P15">
        <f>STANDARDIZE(N15, $N$18, $N$19)</f>
        <v>-0.50269364600290412</v>
      </c>
    </row>
    <row r="16" spans="1:16" x14ac:dyDescent="0.2">
      <c r="A16">
        <v>4</v>
      </c>
      <c r="B16">
        <f>C16/1000</f>
        <v>23.273299999999999</v>
      </c>
      <c r="C16">
        <v>23273.3</v>
      </c>
      <c r="D16">
        <f>STANDARDIZE(B16, $B$18,$B$19)</f>
        <v>-1.0731876501672666</v>
      </c>
      <c r="G16">
        <v>4</v>
      </c>
      <c r="H16">
        <f>I16/1000</f>
        <v>26.422400000000003</v>
      </c>
      <c r="I16">
        <v>26422.400000000001</v>
      </c>
      <c r="J16">
        <f>STANDARDIZE(H16, $H$18, $H$19)</f>
        <v>-0.78401033279883514</v>
      </c>
      <c r="M16">
        <v>4</v>
      </c>
      <c r="N16">
        <f>O16/1000</f>
        <v>24.9391</v>
      </c>
      <c r="O16">
        <v>24939.1</v>
      </c>
      <c r="P16">
        <f>STANDARDIZE(N16, $N$18, $N$19)</f>
        <v>-1.0661539235377986</v>
      </c>
    </row>
    <row r="17" spans="1:16" x14ac:dyDescent="0.2">
      <c r="A17">
        <v>5</v>
      </c>
      <c r="B17">
        <f>C17/1000</f>
        <v>30.663900000000002</v>
      </c>
      <c r="C17">
        <v>30663.9</v>
      </c>
      <c r="D17">
        <f>STANDARDIZE(B17, $B$18,$B$19)</f>
        <v>0.26433804929988058</v>
      </c>
      <c r="G17">
        <v>5</v>
      </c>
      <c r="H17">
        <f>I17/1000</f>
        <v>27.986900000000002</v>
      </c>
      <c r="I17">
        <v>27986.9</v>
      </c>
      <c r="J17">
        <f>STANDARDIZE(H17, $H$18, $H$19)</f>
        <v>-8.542042183871372E-2</v>
      </c>
      <c r="M17">
        <v>5</v>
      </c>
      <c r="N17">
        <f>O17/1000</f>
        <v>31.038</v>
      </c>
      <c r="O17">
        <v>31038</v>
      </c>
      <c r="P17">
        <f>STANDARDIZE(N17, $N$18, $N$19)</f>
        <v>1.3261105294086486</v>
      </c>
    </row>
    <row r="18" spans="1:16" x14ac:dyDescent="0.2">
      <c r="A18" t="s">
        <v>19</v>
      </c>
      <c r="B18">
        <f>AVERAGE(B13:B17)</f>
        <v>29.203280000000007</v>
      </c>
      <c r="G18" t="s">
        <v>18</v>
      </c>
      <c r="H18">
        <f>AVERAGE(H13:H17)</f>
        <v>28.178199999999997</v>
      </c>
      <c r="M18" t="s">
        <v>17</v>
      </c>
      <c r="N18">
        <f>AVERAGE(N13:N17)</f>
        <v>27.65718</v>
      </c>
    </row>
    <row r="19" spans="1:16" x14ac:dyDescent="0.2">
      <c r="A19" t="s">
        <v>20</v>
      </c>
      <c r="B19">
        <f>STDEV(B13:B17)</f>
        <v>5.5255760715060065</v>
      </c>
      <c r="G19" t="s">
        <v>20</v>
      </c>
      <c r="H19">
        <f>STDEV(H13:H17)</f>
        <v>2.2395113004849958</v>
      </c>
      <c r="M19" t="s">
        <v>20</v>
      </c>
      <c r="N19">
        <f>STDEV(N13:N17)</f>
        <v>2.54942550038239</v>
      </c>
    </row>
    <row r="22" spans="1:16" x14ac:dyDescent="0.2">
      <c r="A22" t="s">
        <v>6</v>
      </c>
      <c r="B22" t="s">
        <v>1</v>
      </c>
      <c r="C22" t="s">
        <v>2</v>
      </c>
      <c r="D22" t="s">
        <v>21</v>
      </c>
      <c r="G22" t="s">
        <v>7</v>
      </c>
      <c r="H22" t="s">
        <v>1</v>
      </c>
      <c r="I22" t="s">
        <v>2</v>
      </c>
      <c r="J22" t="s">
        <v>21</v>
      </c>
      <c r="M22" t="s">
        <v>8</v>
      </c>
      <c r="N22" t="s">
        <v>1</v>
      </c>
      <c r="O22" t="s">
        <v>2</v>
      </c>
      <c r="P22" t="s">
        <v>21</v>
      </c>
    </row>
    <row r="23" spans="1:16" x14ac:dyDescent="0.2">
      <c r="A23">
        <v>1</v>
      </c>
      <c r="B23">
        <f>C23/1000</f>
        <v>28.963699999999999</v>
      </c>
      <c r="C23">
        <v>28963.7</v>
      </c>
      <c r="D23">
        <f>STANDARDIZE(B23, $B$28, $B$29)</f>
        <v>0.51019287146310799</v>
      </c>
      <c r="G23">
        <v>1</v>
      </c>
      <c r="H23">
        <f>I23/1000</f>
        <v>23.4346</v>
      </c>
      <c r="I23">
        <v>23434.6</v>
      </c>
      <c r="J23">
        <f>STANDARDIZE(H23, $H$28, $H$29)</f>
        <v>-0.9253876252563038</v>
      </c>
      <c r="M23">
        <v>1</v>
      </c>
      <c r="N23">
        <f>O23/1000</f>
        <v>28.010099999999998</v>
      </c>
      <c r="O23">
        <v>28010.1</v>
      </c>
      <c r="P23">
        <f>STANDARDIZE(N23, $N$28, $N$29)</f>
        <v>-1.0493982347598443</v>
      </c>
    </row>
    <row r="24" spans="1:16" x14ac:dyDescent="0.2">
      <c r="A24">
        <v>2</v>
      </c>
      <c r="B24">
        <f>C24/1000</f>
        <v>21.653299999999998</v>
      </c>
      <c r="C24">
        <v>21653.3</v>
      </c>
      <c r="D24">
        <f>STANDARDIZE(B24, $B$28, $B$29)</f>
        <v>-1.5618934670206028</v>
      </c>
      <c r="G24">
        <v>2</v>
      </c>
      <c r="H24">
        <f>I24/1000</f>
        <v>22.7059</v>
      </c>
      <c r="I24">
        <v>22705.9</v>
      </c>
      <c r="J24">
        <f>STANDARDIZE(H24, $H$28, $H$29)</f>
        <v>-1.0898695807372314</v>
      </c>
      <c r="M24">
        <v>2</v>
      </c>
      <c r="N24">
        <f>O24/1000</f>
        <v>28.674199999999999</v>
      </c>
      <c r="O24">
        <v>28674.2</v>
      </c>
      <c r="P24">
        <f>STANDARDIZE(N24, $N$28, $N$29)</f>
        <v>0.23276198841419676</v>
      </c>
    </row>
    <row r="25" spans="1:16" x14ac:dyDescent="0.2">
      <c r="A25">
        <v>3</v>
      </c>
      <c r="B25">
        <f>C25/1000</f>
        <v>25.6252</v>
      </c>
      <c r="C25">
        <v>25625.200000000001</v>
      </c>
      <c r="D25">
        <f>STANDARDIZE(B25, $B$28, $B$29)</f>
        <v>-0.43608369904300204</v>
      </c>
      <c r="G25">
        <v>3</v>
      </c>
      <c r="H25">
        <f>I25/1000</f>
        <v>29.721499999999999</v>
      </c>
      <c r="I25">
        <v>29721.5</v>
      </c>
      <c r="J25">
        <f>STANDARDIZE(H25, $H$28, $H$29)</f>
        <v>0.49368964373373914</v>
      </c>
      <c r="M25">
        <v>3</v>
      </c>
      <c r="N25">
        <f>O25/1000</f>
        <v>29.226700000000001</v>
      </c>
      <c r="O25">
        <v>29226.7</v>
      </c>
      <c r="P25">
        <f>STANDARDIZE(N25, $N$28, $N$29)</f>
        <v>1.2994590570840641</v>
      </c>
    </row>
    <row r="26" spans="1:16" x14ac:dyDescent="0.2">
      <c r="A26">
        <v>4</v>
      </c>
      <c r="B26">
        <f>C26/1000</f>
        <v>29.645499999999998</v>
      </c>
      <c r="C26">
        <v>29645.5</v>
      </c>
      <c r="D26">
        <f>STANDARDIZE(B26, $B$28, $B$29)</f>
        <v>0.70344474079696007</v>
      </c>
      <c r="G26">
        <v>4</v>
      </c>
      <c r="H26">
        <f>I26/1000</f>
        <v>33.2376</v>
      </c>
      <c r="I26">
        <v>33237.599999999999</v>
      </c>
      <c r="J26">
        <f>STANDARDIZE(H26, $H$28, $H$29)</f>
        <v>1.287342729594162</v>
      </c>
      <c r="M26">
        <v>4</v>
      </c>
      <c r="N26">
        <f>O26/1000</f>
        <v>28.802</v>
      </c>
      <c r="O26">
        <v>28802</v>
      </c>
      <c r="P26">
        <f>STANDARDIZE(N26, $N$28, $N$29)</f>
        <v>0.47950205244317262</v>
      </c>
    </row>
    <row r="27" spans="1:16" x14ac:dyDescent="0.2">
      <c r="A27">
        <v>5</v>
      </c>
      <c r="B27">
        <f>C27/1000</f>
        <v>29.930900000000001</v>
      </c>
      <c r="C27">
        <v>29930.9</v>
      </c>
      <c r="D27">
        <f>STANDARDIZE(B27, $B$28, $B$29)</f>
        <v>0.78433955380353382</v>
      </c>
      <c r="G27">
        <v>5</v>
      </c>
      <c r="H27">
        <f>I27/1000</f>
        <v>28.571999999999999</v>
      </c>
      <c r="I27">
        <v>28572</v>
      </c>
      <c r="J27">
        <f>STANDARDIZE(H27, $H$28, $H$29)</f>
        <v>0.23422483266563654</v>
      </c>
      <c r="M27">
        <v>5</v>
      </c>
      <c r="N27">
        <f>O27/1000</f>
        <v>28.055199999999999</v>
      </c>
      <c r="O27">
        <v>28055.200000000001</v>
      </c>
      <c r="P27">
        <f>STANDARDIZE(N27, $N$28, $N$29)</f>
        <v>-0.9623248631815412</v>
      </c>
    </row>
    <row r="28" spans="1:16" x14ac:dyDescent="0.2">
      <c r="A28" t="s">
        <v>16</v>
      </c>
      <c r="B28">
        <f>AVERAGE(B23:B27)</f>
        <v>27.163720000000001</v>
      </c>
      <c r="G28" t="s">
        <v>15</v>
      </c>
      <c r="H28">
        <f>AVERAGE(H23:H27)</f>
        <v>27.534319999999997</v>
      </c>
      <c r="M28" t="s">
        <v>14</v>
      </c>
      <c r="N28">
        <f>AVERAGE(N23:N27)</f>
        <v>28.553639999999994</v>
      </c>
    </row>
    <row r="29" spans="1:16" x14ac:dyDescent="0.2">
      <c r="A29" t="s">
        <v>20</v>
      </c>
      <c r="B29">
        <f>STDEV(B23:B27)</f>
        <v>3.5280383178190959</v>
      </c>
      <c r="G29" t="s">
        <v>20</v>
      </c>
      <c r="H29">
        <f>STDEV(H23:H27)</f>
        <v>4.4302732045552284</v>
      </c>
      <c r="M29" t="s">
        <v>20</v>
      </c>
      <c r="N29">
        <f>STDEV(N23:N27)</f>
        <v>0.51795398733864484</v>
      </c>
    </row>
    <row r="32" spans="1:16" x14ac:dyDescent="0.2">
      <c r="A32" s="1" t="s">
        <v>9</v>
      </c>
      <c r="B32" s="1" t="s">
        <v>1</v>
      </c>
      <c r="C32" s="1" t="s">
        <v>2</v>
      </c>
      <c r="D32" t="s">
        <v>21</v>
      </c>
      <c r="G32" s="1" t="s">
        <v>10</v>
      </c>
      <c r="H32" s="1" t="s">
        <v>1</v>
      </c>
      <c r="I32" s="1" t="s">
        <v>2</v>
      </c>
      <c r="J32" t="s">
        <v>21</v>
      </c>
    </row>
    <row r="33" spans="1:11" x14ac:dyDescent="0.2">
      <c r="A33" s="1">
        <v>1</v>
      </c>
      <c r="B33" s="1">
        <f>C33/1000</f>
        <v>25.313500000000001</v>
      </c>
      <c r="C33" s="1">
        <v>25313.5</v>
      </c>
      <c r="D33" s="1">
        <f>STANDARDIZE(B33, $B$38, $B$39)</f>
        <v>-6.7664398473065795E-2</v>
      </c>
      <c r="E33" s="1"/>
      <c r="G33" s="1">
        <v>1</v>
      </c>
      <c r="H33" s="1">
        <f>I33/1000</f>
        <v>31.6075999999046</v>
      </c>
      <c r="I33" s="1">
        <v>31607.5999999046</v>
      </c>
      <c r="J33" s="1">
        <f>STANDARDIZE(H33, $H$38, $H$39)</f>
        <v>1.0600135423210466</v>
      </c>
      <c r="K33" s="1"/>
    </row>
    <row r="34" spans="1:11" x14ac:dyDescent="0.2">
      <c r="A34" s="1">
        <v>2</v>
      </c>
      <c r="B34" s="1">
        <f>C34/1000</f>
        <v>30.174700000000001</v>
      </c>
      <c r="C34" s="1">
        <v>30174.7</v>
      </c>
      <c r="D34" s="1">
        <f>STANDARDIZE(B34, $B$38, $B$39)</f>
        <v>1.1914466636049714</v>
      </c>
      <c r="E34" s="1"/>
      <c r="G34" s="1">
        <v>2</v>
      </c>
      <c r="H34" s="1">
        <f>I34/1000</f>
        <v>31.903500000000001</v>
      </c>
      <c r="I34" s="1">
        <v>31903.5</v>
      </c>
      <c r="J34" s="1">
        <f>STANDARDIZE(H34, $H$38, $H$39)</f>
        <v>1.1197970971225977</v>
      </c>
      <c r="K34" s="1"/>
    </row>
    <row r="35" spans="1:11" x14ac:dyDescent="0.2">
      <c r="A35" s="1">
        <v>3</v>
      </c>
      <c r="B35" s="1">
        <f>C35/1000</f>
        <v>25.324900000000003</v>
      </c>
      <c r="C35" s="1">
        <v>25324.9</v>
      </c>
      <c r="D35" s="1">
        <f>STANDARDIZE(B35, $B$38, $B$39)</f>
        <v>-6.47116571524676E-2</v>
      </c>
      <c r="E35" s="1"/>
      <c r="G35" s="1">
        <v>3</v>
      </c>
      <c r="H35" s="1">
        <f>I35/1000</f>
        <v>22.770900000000001</v>
      </c>
      <c r="I35" s="1">
        <v>22770.9</v>
      </c>
      <c r="J35" s="1">
        <f>STANDARDIZE(H35, $H$38, $H$39)</f>
        <v>-0.72535090018939008</v>
      </c>
      <c r="K35" s="1"/>
    </row>
    <row r="36" spans="1:11" x14ac:dyDescent="0.2">
      <c r="A36" s="1">
        <v>4</v>
      </c>
      <c r="B36" s="1">
        <f>C36/1000</f>
        <v>19.658999999999999</v>
      </c>
      <c r="C36" s="1">
        <v>19659</v>
      </c>
      <c r="D36" s="1">
        <f>STANDARDIZE(B36, $B$38, $B$39)</f>
        <v>-1.5322499947291888</v>
      </c>
      <c r="E36" s="1"/>
      <c r="G36" s="1">
        <v>4</v>
      </c>
      <c r="H36" s="1">
        <f>I36/1000</f>
        <v>22.074300000000001</v>
      </c>
      <c r="I36" s="1">
        <v>22074.3</v>
      </c>
      <c r="J36" s="1">
        <f>STANDARDIZE(H36, $H$38, $H$39)</f>
        <v>-0.86609177298876061</v>
      </c>
      <c r="K36" s="1"/>
    </row>
    <row r="37" spans="1:11" x14ac:dyDescent="0.2">
      <c r="A37" s="1">
        <v>5</v>
      </c>
      <c r="B37" s="1">
        <f>C37/1000</f>
        <v>27.401599999999998</v>
      </c>
      <c r="C37" s="1">
        <v>27401.599999999999</v>
      </c>
      <c r="D37" s="1">
        <f>STANDARDIZE(B37, $B$38, $B$39)</f>
        <v>0.47317938674974874</v>
      </c>
      <c r="E37" s="1"/>
      <c r="G37" s="1">
        <v>5</v>
      </c>
      <c r="H37" s="1">
        <f>I37/1000</f>
        <v>23.4489000000953</v>
      </c>
      <c r="I37" s="1">
        <v>23448.900000095298</v>
      </c>
      <c r="J37" s="1">
        <f>STANDARDIZE(H37, $H$38, $H$39)</f>
        <v>-0.58836796626549459</v>
      </c>
      <c r="K37" s="1"/>
    </row>
    <row r="38" spans="1:11" x14ac:dyDescent="0.2">
      <c r="A38" t="s">
        <v>12</v>
      </c>
      <c r="B38" s="1">
        <f>AVERAGE(B33:B37)</f>
        <v>25.574740000000002</v>
      </c>
      <c r="G38" t="s">
        <v>13</v>
      </c>
      <c r="H38" s="1">
        <f>AVERAGE(H33:H37)</f>
        <v>26.361039999999981</v>
      </c>
    </row>
    <row r="39" spans="1:11" x14ac:dyDescent="0.2">
      <c r="A39" t="s">
        <v>20</v>
      </c>
      <c r="B39" s="1">
        <f>STDEV(B33:B37)</f>
        <v>3.8608190702233003</v>
      </c>
      <c r="G39" t="s">
        <v>20</v>
      </c>
      <c r="H39" s="1">
        <f>STDEV(H33:H37)</f>
        <v>4.9495216715972781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GO_enrichment_runtime</vt:lpstr>
      <vt:lpstr>KEGG_pathway_runtime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Microsoft Office User</cp:lastModifiedBy>
  <dcterms:created xsi:type="dcterms:W3CDTF">2023-01-06T16:27:09Z</dcterms:created>
  <dcterms:modified xsi:type="dcterms:W3CDTF">2023-01-12T18:48:26Z</dcterms:modified>
</cp:coreProperties>
</file>